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გაყიდვების რეპორტი" sheetId="1" state="visible" r:id="rId1"/>
    <sheet xmlns:r="http://schemas.openxmlformats.org/officeDocument/2006/relationships" name="ფინანსური შეჯამებ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თარიღი</t>
        </is>
      </c>
      <c r="B1" s="1" t="inlineStr">
        <is>
          <t>ბრენდი</t>
        </is>
      </c>
      <c r="C1" s="1" t="inlineStr">
        <is>
          <t>კატეგორია</t>
        </is>
      </c>
      <c r="D1" s="1" t="inlineStr">
        <is>
          <t>პროდუქტის დასახელება</t>
        </is>
      </c>
      <c r="E1" s="1" t="inlineStr">
        <is>
          <t>მასალა</t>
        </is>
      </c>
      <c r="F1" s="1" t="inlineStr">
        <is>
          <t>რაოდენობა</t>
        </is>
      </c>
      <c r="G1" s="1" t="inlineStr">
        <is>
          <t>ერთეულის ფასი</t>
        </is>
      </c>
      <c r="H1" s="1" t="inlineStr">
        <is>
          <t>ჯამური ღირებულება</t>
        </is>
      </c>
    </row>
    <row r="2">
      <c r="A2" t="inlineStr">
        <is>
          <t>2026-04-04</t>
        </is>
      </c>
      <c r="B2" t="inlineStr">
        <is>
          <t>Under Armour</t>
        </is>
      </c>
      <c r="C2" t="inlineStr">
        <is>
          <t>ტანსაცმელი</t>
        </is>
      </c>
      <c r="D2" t="inlineStr">
        <is>
          <t>HeatGear Tee</t>
        </is>
      </c>
      <c r="E2" t="inlineStr">
        <is>
          <t>პოლიესტერი</t>
        </is>
      </c>
      <c r="F2" t="n">
        <v>40</v>
      </c>
      <c r="G2" t="n">
        <v>72</v>
      </c>
      <c r="H2">
        <f>F2*G2</f>
        <v/>
      </c>
    </row>
    <row r="3">
      <c r="A3" t="inlineStr">
        <is>
          <t>2026-04-18</t>
        </is>
      </c>
      <c r="B3" t="inlineStr">
        <is>
          <t>Nike</t>
        </is>
      </c>
      <c r="C3" t="inlineStr">
        <is>
          <t>ფეხსაცმელი</t>
        </is>
      </c>
      <c r="D3" t="inlineStr">
        <is>
          <t>Air Zoom Pegasus</t>
        </is>
      </c>
      <c r="E3" t="inlineStr">
        <is>
          <t>mesh</t>
        </is>
      </c>
      <c r="F3" t="n">
        <v>16</v>
      </c>
      <c r="G3" t="n">
        <v>355</v>
      </c>
      <c r="H3">
        <f>F3*G3</f>
        <v/>
      </c>
    </row>
    <row r="4">
      <c r="A4" t="inlineStr">
        <is>
          <t>2026-05-07</t>
        </is>
      </c>
      <c r="B4" t="inlineStr">
        <is>
          <t>Adidas</t>
        </is>
      </c>
      <c r="C4" t="inlineStr">
        <is>
          <t>აქსესუარები</t>
        </is>
      </c>
      <c r="D4" t="inlineStr">
        <is>
          <t>Cap</t>
        </is>
      </c>
      <c r="E4" t="inlineStr">
        <is>
          <t>ბამბა</t>
        </is>
      </c>
      <c r="F4" t="n">
        <v>55</v>
      </c>
      <c r="G4" t="n">
        <v>35</v>
      </c>
      <c r="H4">
        <f>F4*G4</f>
        <v/>
      </c>
    </row>
    <row r="5">
      <c r="A5" t="inlineStr">
        <is>
          <t>2026-06-14</t>
        </is>
      </c>
      <c r="B5" t="inlineStr">
        <is>
          <t>Puma</t>
        </is>
      </c>
      <c r="C5" t="inlineStr">
        <is>
          <t>ფეხსაცმელი</t>
        </is>
      </c>
      <c r="D5" t="inlineStr">
        <is>
          <t>Velocity Nitro</t>
        </is>
      </c>
      <c r="E5" t="inlineStr">
        <is>
          <t>სინთეტიკა</t>
        </is>
      </c>
      <c r="F5" t="n">
        <v>10</v>
      </c>
      <c r="G5" t="n">
        <v>410</v>
      </c>
      <c r="H5">
        <f>F5*G5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ბრენდი</t>
        </is>
      </c>
      <c r="B1" t="inlineStr">
        <is>
          <t>ჯამური გაყიდვები</t>
        </is>
      </c>
    </row>
    <row r="2">
      <c r="A2" t="inlineStr">
        <is>
          <t>Adidas</t>
        </is>
      </c>
      <c r="B2">
        <f>SUMIF('გაყიდვების რეპორტი'!B:B, A2, 'გაყიდვების რეპორტი'!H:H)</f>
        <v/>
      </c>
    </row>
    <row r="3">
      <c r="A3" t="inlineStr">
        <is>
          <t>Nike</t>
        </is>
      </c>
      <c r="B3">
        <f>SUMIF('გაყიდვების რეპორტი'!B:B, A3, 'გაყიდვების რეპორტი'!H:H)</f>
        <v/>
      </c>
    </row>
    <row r="4">
      <c r="A4" t="inlineStr">
        <is>
          <t>Puma</t>
        </is>
      </c>
      <c r="B4">
        <f>SUMIF('გაყიდვების რეპორტი'!B:B, A4, 'გაყიდვების რეპორტი'!H:H)</f>
        <v/>
      </c>
    </row>
    <row r="5">
      <c r="A5" t="inlineStr">
        <is>
          <t>Under Armour</t>
        </is>
      </c>
      <c r="B5">
        <f>SUMIF('გაყიდვების რეპორტი'!B:B, A5, 'გაყიდვების რეპორტი'!H:H)</f>
        <v/>
      </c>
    </row>
    <row r="7">
      <c r="A7" t="inlineStr">
        <is>
          <t>ჯამი</t>
        </is>
      </c>
      <c r="B7">
        <f>SUM(B2:B5)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2026-04-24T13:49:03Z</dcterms:created>
  <dcterms:modified xmlns:dcterms="http://purl.org/dc/terms/" xmlns:xsi="http://www.w3.org/2001/XMLSchema-instance" xsi:type="dcterms:W3CDTF">2026-04-24T13:49:03Z</dcterms:modified>
</cp:coreProperties>
</file>